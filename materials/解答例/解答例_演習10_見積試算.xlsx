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試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4D8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</cols>
  <sheetData>
    <row r="1">
      <c r="A1" s="1" t="inlineStr">
        <is>
          <t>概算見積（みらい商事 法人営業向け生成AI活用研修）A案・B案【解答例】</t>
        </is>
      </c>
    </row>
    <row r="3">
      <c r="A3" s="2" t="inlineStr">
        <is>
          <t>前提条件</t>
        </is>
      </c>
      <c r="B3" s="2" t="inlineStr">
        <is>
          <t>A案</t>
        </is>
      </c>
      <c r="C3" s="2" t="inlineStr">
        <is>
          <t>B案</t>
        </is>
      </c>
      <c r="D3" s="2" t="n"/>
      <c r="E3" s="2" t="n"/>
      <c r="F3" s="2" t="n"/>
      <c r="G3" s="2" t="n"/>
    </row>
    <row r="4">
      <c r="A4" t="inlineStr">
        <is>
          <t>受講者数（名）</t>
        </is>
      </c>
      <c r="B4" t="n">
        <v>20</v>
      </c>
      <c r="C4" t="n">
        <v>20</v>
      </c>
    </row>
    <row r="5">
      <c r="A5" t="inlineStr">
        <is>
          <t>クラス数</t>
        </is>
      </c>
      <c r="B5" t="n">
        <v>1</v>
      </c>
      <c r="C5" t="n">
        <v>1</v>
      </c>
    </row>
    <row r="6">
      <c r="A6" t="inlineStr">
        <is>
          <t>事前診断（あり／なし）</t>
        </is>
      </c>
      <c r="B6" t="inlineStr">
        <is>
          <t>なし</t>
        </is>
      </c>
      <c r="C6" t="inlineStr">
        <is>
          <t>あり</t>
        </is>
      </c>
    </row>
    <row r="7">
      <c r="A7" t="inlineStr">
        <is>
          <t>活用フォロー（あり／なし）</t>
        </is>
      </c>
      <c r="B7" t="inlineStr">
        <is>
          <t>なし</t>
        </is>
      </c>
      <c r="C7" t="inlineStr">
        <is>
          <t>あり</t>
        </is>
      </c>
    </row>
    <row r="9">
      <c r="A9" s="3" t="inlineStr">
        <is>
          <t>コード</t>
        </is>
      </c>
      <c r="B9" s="3" t="inlineStr">
        <is>
          <t>項目</t>
        </is>
      </c>
      <c r="C9" s="3" t="inlineStr">
        <is>
          <t>単価</t>
        </is>
      </c>
      <c r="D9" s="3" t="inlineStr">
        <is>
          <t>A案 数量</t>
        </is>
      </c>
      <c r="E9" s="3" t="inlineStr">
        <is>
          <t>A案 金額</t>
        </is>
      </c>
      <c r="F9" s="3" t="inlineStr">
        <is>
          <t>B案 数量</t>
        </is>
      </c>
      <c r="G9" s="3" t="inlineStr">
        <is>
          <t>B案 金額</t>
        </is>
      </c>
    </row>
    <row r="10">
      <c r="A10" s="4" t="inlineStr">
        <is>
          <t>P01</t>
        </is>
      </c>
      <c r="B10" s="4" t="inlineStr">
        <is>
          <t>集合研修（2日間）</t>
        </is>
      </c>
      <c r="C10" s="5" t="n">
        <v>500000</v>
      </c>
      <c r="D10" s="5">
        <f>B5</f>
        <v/>
      </c>
      <c r="E10" s="5">
        <f>C10*D10</f>
        <v/>
      </c>
      <c r="F10" s="5">
        <f>C5</f>
        <v/>
      </c>
      <c r="G10" s="5">
        <f>C10*F10</f>
        <v/>
      </c>
    </row>
    <row r="11">
      <c r="A11" s="4" t="inlineStr">
        <is>
          <t>P02</t>
        </is>
      </c>
      <c r="B11" s="4" t="inlineStr">
        <is>
          <t>教材</t>
        </is>
      </c>
      <c r="C11" s="5" t="n">
        <v>5000</v>
      </c>
      <c r="D11" s="5">
        <f>B4</f>
        <v/>
      </c>
      <c r="E11" s="5">
        <f>C11*D11</f>
        <v/>
      </c>
      <c r="F11" s="5">
        <f>C4</f>
        <v/>
      </c>
      <c r="G11" s="5">
        <f>C11*F11</f>
        <v/>
      </c>
    </row>
    <row r="12">
      <c r="A12" s="4" t="inlineStr">
        <is>
          <t>P03</t>
        </is>
      </c>
      <c r="B12" s="4" t="inlineStr">
        <is>
          <t>事前診断</t>
        </is>
      </c>
      <c r="C12" s="5" t="n">
        <v>200000</v>
      </c>
      <c r="D12" s="5">
        <f>IF(B6="あり",1,0)</f>
        <v/>
      </c>
      <c r="E12" s="5">
        <f>C12*D12</f>
        <v/>
      </c>
      <c r="F12" s="5">
        <f>IF(C6="あり",1,0)</f>
        <v/>
      </c>
      <c r="G12" s="5">
        <f>C12*F12</f>
        <v/>
      </c>
    </row>
    <row r="13">
      <c r="A13" s="4" t="inlineStr">
        <is>
          <t>P04</t>
        </is>
      </c>
      <c r="B13" s="4" t="inlineStr">
        <is>
          <t>受講後1か月の活用フォロー</t>
        </is>
      </c>
      <c r="C13" s="5" t="n">
        <v>200000</v>
      </c>
      <c r="D13" s="5">
        <f>IF(B7="あり",1,0)</f>
        <v/>
      </c>
      <c r="E13" s="5">
        <f>C13*D13</f>
        <v/>
      </c>
      <c r="F13" s="5">
        <f>IF(C7="あり",1,0)</f>
        <v/>
      </c>
      <c r="G13" s="5">
        <f>C13*F13</f>
        <v/>
      </c>
    </row>
    <row r="14">
      <c r="A14" s="4" t="n"/>
      <c r="B14" s="4" t="inlineStr">
        <is>
          <t>合計（税抜）</t>
        </is>
      </c>
      <c r="C14" s="5" t="n"/>
      <c r="D14" s="5" t="n"/>
      <c r="E14" s="5">
        <f>SUM(E10:E13)</f>
        <v/>
      </c>
      <c r="F14" s="5" t="n"/>
      <c r="G14" s="5">
        <f>SUM(G10:G13)</f>
        <v/>
      </c>
    </row>
    <row r="15">
      <c r="A15" s="4" t="n"/>
      <c r="B15" s="4" t="inlineStr">
        <is>
          <t>1名あたり</t>
        </is>
      </c>
      <c r="C15" s="5" t="n"/>
      <c r="D15" s="5" t="n"/>
      <c r="E15" s="5">
        <f>E14/B4</f>
        <v/>
      </c>
      <c r="F15" s="5" t="n"/>
      <c r="G15" s="5">
        <f>G14/C4</f>
        <v/>
      </c>
    </row>
    <row r="16">
      <c r="A16" s="4" t="n"/>
      <c r="B16" s="4" t="inlineStr">
        <is>
          <t>B案とA案の差額</t>
        </is>
      </c>
      <c r="C16" s="5" t="n"/>
      <c r="D16" s="5" t="n"/>
      <c r="E16" s="5" t="n"/>
      <c r="F16" s="5" t="n"/>
      <c r="G16" s="5">
        <f>G14-E14</f>
        <v/>
      </c>
    </row>
    <row r="17">
      <c r="A17" s="4" t="n"/>
      <c r="B17" s="4" t="inlineStr">
        <is>
          <t>予算の目安（税抜・承認前）</t>
        </is>
      </c>
      <c r="C17" s="5" t="n"/>
      <c r="D17" s="5" t="n"/>
      <c r="E17" s="5" t="n">
        <v>1000000</v>
      </c>
      <c r="F17" s="5" t="n"/>
      <c r="G17" s="5" t="n">
        <v>1000000</v>
      </c>
    </row>
    <row r="18">
      <c r="A18" s="4" t="n"/>
      <c r="B18" s="4" t="inlineStr">
        <is>
          <t>目安との差（＋は目安内の余裕）</t>
        </is>
      </c>
      <c r="C18" s="5" t="n"/>
      <c r="D18" s="5" t="n"/>
      <c r="E18" s="5">
        <f>E17-E14</f>
        <v/>
      </c>
      <c r="F18" s="5" t="n"/>
      <c r="G18" s="5">
        <f>G17-G14</f>
        <v/>
      </c>
    </row>
    <row r="20">
      <c r="A20" t="inlineStr">
        <is>
          <t>想定：A案 600,000円（1名30,000円）／B案 1,000,000円（1名50,000円）／差額 400,000円（事前診断20万円＋活用フォロー20万円）</t>
        </is>
      </c>
    </row>
    <row r="21">
      <c r="A21" t="inlineStr">
        <is>
          <t>含まないもの：会場・端末・必要なライセンス（お客様で手配）、無制限の個別相談、アプリ開発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2026-09-24T07:56:21Z</dcterms:created>
  <dcterms:modified xmlns:dcterms="http://purl.org/dc/terms/" xmlns:xsi="http://www.w3.org/2001/XMLSchema-instance" xsi:type="dcterms:W3CDTF">2026-09-24T07:56:21Z</dcterms:modified>
</cp:coreProperties>
</file>
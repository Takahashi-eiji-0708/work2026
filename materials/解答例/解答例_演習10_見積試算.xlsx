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見積試算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4D8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見積試算（みらい商事 法人営業向け生成AI活用研修）A案・B案【解答例】</t>
        </is>
      </c>
    </row>
    <row r="3">
      <c r="A3" s="2" t="inlineStr">
        <is>
          <t>前提条件</t>
        </is>
      </c>
      <c r="B3" s="2" t="inlineStr">
        <is>
          <t>A案</t>
        </is>
      </c>
      <c r="C3" s="2" t="inlineStr">
        <is>
          <t>B案</t>
        </is>
      </c>
      <c r="D3" s="2" t="n"/>
      <c r="E3" s="2" t="n"/>
      <c r="F3" s="2" t="n"/>
      <c r="G3" s="2" t="n"/>
    </row>
    <row r="4">
      <c r="A4" t="inlineStr">
        <is>
          <t>受講者数（名）</t>
        </is>
      </c>
      <c r="B4" t="n">
        <v>20</v>
      </c>
      <c r="C4" t="n">
        <v>20</v>
      </c>
    </row>
    <row r="5">
      <c r="A5" t="inlineStr">
        <is>
          <t>日数</t>
        </is>
      </c>
      <c r="B5" t="n">
        <v>1</v>
      </c>
      <c r="C5" t="n">
        <v>2</v>
      </c>
    </row>
    <row r="6">
      <c r="A6" t="inlineStr">
        <is>
          <t>実施形式（集合／オンライン）</t>
        </is>
      </c>
      <c r="B6" t="inlineStr">
        <is>
          <t>集合</t>
        </is>
      </c>
      <c r="C6" t="inlineStr">
        <is>
          <t>集合</t>
        </is>
      </c>
    </row>
    <row r="7">
      <c r="A7" t="inlineStr">
        <is>
          <t>会場（顧客会場／ELI会場）</t>
        </is>
      </c>
      <c r="B7" t="inlineStr">
        <is>
          <t>顧客会場</t>
        </is>
      </c>
      <c r="C7" t="inlineStr">
        <is>
          <t>顧客会場</t>
        </is>
      </c>
    </row>
    <row r="8">
      <c r="A8" t="inlineStr">
        <is>
          <t>アシスタント講師（あり／なし）</t>
        </is>
      </c>
      <c r="B8" t="inlineStr">
        <is>
          <t>あり</t>
        </is>
      </c>
      <c r="C8" t="inlineStr">
        <is>
          <t>あり</t>
        </is>
      </c>
    </row>
    <row r="9">
      <c r="A9" t="inlineStr">
        <is>
          <t>研修カスタマイズ（あり／なし）</t>
        </is>
      </c>
      <c r="B9" t="inlineStr">
        <is>
          <t>あり</t>
        </is>
      </c>
      <c r="C9" t="inlineStr">
        <is>
          <t>あり</t>
        </is>
      </c>
    </row>
    <row r="10">
      <c r="A10" t="inlineStr">
        <is>
          <t>事後フォローアップ（あり／なし）</t>
        </is>
      </c>
      <c r="B10" t="inlineStr">
        <is>
          <t>なし</t>
        </is>
      </c>
      <c r="C10" t="inlineStr">
        <is>
          <t>あり</t>
        </is>
      </c>
    </row>
    <row r="12">
      <c r="A12" s="3" t="inlineStr">
        <is>
          <t>コード</t>
        </is>
      </c>
      <c r="B12" s="3" t="inlineStr">
        <is>
          <t>項目</t>
        </is>
      </c>
      <c r="C12" s="3" t="inlineStr">
        <is>
          <t>単価</t>
        </is>
      </c>
      <c r="D12" s="3" t="inlineStr">
        <is>
          <t>A案 数量</t>
        </is>
      </c>
      <c r="E12" s="3" t="inlineStr">
        <is>
          <t>A案 金額</t>
        </is>
      </c>
      <c r="F12" s="3" t="inlineStr">
        <is>
          <t>B案 数量</t>
        </is>
      </c>
      <c r="G12" s="3" t="inlineStr">
        <is>
          <t>B案 金額</t>
        </is>
      </c>
    </row>
    <row r="13">
      <c r="A13" s="4" t="inlineStr">
        <is>
          <t>P01</t>
        </is>
      </c>
      <c r="B13" s="4" t="inlineStr">
        <is>
          <t>講師料</t>
        </is>
      </c>
      <c r="C13" s="5" t="n">
        <v>250000</v>
      </c>
      <c r="D13" s="5">
        <f>B5</f>
        <v/>
      </c>
      <c r="E13" s="5">
        <f>C13*D13</f>
        <v/>
      </c>
      <c r="F13" s="5">
        <f>C5</f>
        <v/>
      </c>
      <c r="G13" s="5">
        <f>C13*F13</f>
        <v/>
      </c>
    </row>
    <row r="14">
      <c r="A14" s="4" t="inlineStr">
        <is>
          <t>P02</t>
        </is>
      </c>
      <c r="B14" s="4" t="inlineStr">
        <is>
          <t>アシスタント講師料</t>
        </is>
      </c>
      <c r="C14" s="5" t="n">
        <v>80000</v>
      </c>
      <c r="D14" s="5">
        <f>IF(B8="あり",B5,0)</f>
        <v/>
      </c>
      <c r="E14" s="5">
        <f>C14*D14</f>
        <v/>
      </c>
      <c r="F14" s="5">
        <f>IF(C8="あり",C5,0)</f>
        <v/>
      </c>
      <c r="G14" s="5">
        <f>C14*F14</f>
        <v/>
      </c>
    </row>
    <row r="15">
      <c r="A15" s="4" t="inlineStr">
        <is>
          <t>P03</t>
        </is>
      </c>
      <c r="B15" s="4" t="inlineStr">
        <is>
          <t>教材費</t>
        </is>
      </c>
      <c r="C15" s="5" t="n">
        <v>5000</v>
      </c>
      <c r="D15" s="5">
        <f>B4*B5</f>
        <v/>
      </c>
      <c r="E15" s="5">
        <f>C15*D15</f>
        <v/>
      </c>
      <c r="F15" s="5">
        <f>C4*C5</f>
        <v/>
      </c>
      <c r="G15" s="5">
        <f>C15*F15</f>
        <v/>
      </c>
    </row>
    <row r="16">
      <c r="A16" s="4" t="inlineStr">
        <is>
          <t>P04</t>
        </is>
      </c>
      <c r="B16" s="4" t="inlineStr">
        <is>
          <t>研修カスタマイズ費</t>
        </is>
      </c>
      <c r="C16" s="5" t="n">
        <v>200000</v>
      </c>
      <c r="D16" s="5">
        <f>IF(B9="あり",1,0)</f>
        <v/>
      </c>
      <c r="E16" s="5">
        <f>C16*D16</f>
        <v/>
      </c>
      <c r="F16" s="5">
        <f>IF(C9="あり",1,0)</f>
        <v/>
      </c>
      <c r="G16" s="5">
        <f>C16*F16</f>
        <v/>
      </c>
    </row>
    <row r="17">
      <c r="A17" s="4" t="inlineStr">
        <is>
          <t>P05</t>
        </is>
      </c>
      <c r="B17" s="4" t="inlineStr">
        <is>
          <t>事前アセスメント</t>
        </is>
      </c>
      <c r="C17" s="5" t="n">
        <v>3000</v>
      </c>
      <c r="D17" s="5">
        <f>B4</f>
        <v/>
      </c>
      <c r="E17" s="5">
        <f>C17*D17</f>
        <v/>
      </c>
      <c r="F17" s="5">
        <f>C4</f>
        <v/>
      </c>
      <c r="G17" s="5">
        <f>C17*F17</f>
        <v/>
      </c>
    </row>
    <row r="18">
      <c r="A18" s="4" t="inlineStr">
        <is>
          <t>P06</t>
        </is>
      </c>
      <c r="B18" s="4" t="inlineStr">
        <is>
          <t>事後フォローアップ</t>
        </is>
      </c>
      <c r="C18" s="5" t="n">
        <v>100000</v>
      </c>
      <c r="D18" s="5">
        <f>IF(B10="あり",1,0)</f>
        <v/>
      </c>
      <c r="E18" s="5">
        <f>C18*D18</f>
        <v/>
      </c>
      <c r="F18" s="5">
        <f>IF(C10="あり",1,0)</f>
        <v/>
      </c>
      <c r="G18" s="5">
        <f>C18*F18</f>
        <v/>
      </c>
    </row>
    <row r="19">
      <c r="A19" s="4" t="inlineStr">
        <is>
          <t>P07</t>
        </is>
      </c>
      <c r="B19" s="4" t="inlineStr">
        <is>
          <t>ELI会場使用料</t>
        </is>
      </c>
      <c r="C19" s="5" t="n">
        <v>60000</v>
      </c>
      <c r="D19" s="5">
        <f>IF(B7="ELI会場",B5,0)</f>
        <v/>
      </c>
      <c r="E19" s="5">
        <f>C19*D19</f>
        <v/>
      </c>
      <c r="F19" s="5">
        <f>IF(C7="ELI会場",C5,0)</f>
        <v/>
      </c>
      <c r="G19" s="5">
        <f>C19*F19</f>
        <v/>
      </c>
    </row>
    <row r="20">
      <c r="A20" s="4" t="inlineStr">
        <is>
          <t>P08</t>
        </is>
      </c>
      <c r="B20" s="4" t="inlineStr">
        <is>
          <t>オンライン配信運営費</t>
        </is>
      </c>
      <c r="C20" s="5" t="n">
        <v>50000</v>
      </c>
      <c r="D20" s="5">
        <f>IF(B6="オンライン",B5,0)</f>
        <v/>
      </c>
      <c r="E20" s="5">
        <f>C20*D20</f>
        <v/>
      </c>
      <c r="F20" s="5">
        <f>IF(C6="オンライン",C5,0)</f>
        <v/>
      </c>
      <c r="G20" s="5">
        <f>C20*F20</f>
        <v/>
      </c>
    </row>
    <row r="21">
      <c r="A21" s="4" t="n"/>
      <c r="B21" s="4" t="inlineStr">
        <is>
          <t>割引（2日以上で講師料5%）</t>
        </is>
      </c>
      <c r="C21" s="5" t="n"/>
      <c r="D21" s="5" t="n"/>
      <c r="E21" s="5">
        <f>IF(B5&gt;=2,-E13*0.05,0)</f>
        <v/>
      </c>
      <c r="F21" s="5" t="n"/>
      <c r="G21" s="5">
        <f>IF(C5&gt;=2,-G13*0.05,0)</f>
        <v/>
      </c>
    </row>
    <row r="22">
      <c r="A22" s="4" t="n"/>
      <c r="B22" s="4" t="inlineStr">
        <is>
          <t>合計（税別）</t>
        </is>
      </c>
      <c r="C22" s="5" t="n"/>
      <c r="D22" s="5" t="n"/>
      <c r="E22" s="5">
        <f>SUM(E13:E21)</f>
        <v/>
      </c>
      <c r="F22" s="5" t="n"/>
      <c r="G22" s="5">
        <f>SUM(G13:G21)</f>
        <v/>
      </c>
    </row>
    <row r="23">
      <c r="A23" s="4" t="n"/>
      <c r="B23" s="4" t="inlineStr">
        <is>
          <t>予算の目安（税別・承認前）</t>
        </is>
      </c>
      <c r="C23" s="5" t="n"/>
      <c r="D23" s="5" t="n"/>
      <c r="E23" s="5" t="n">
        <v>1000000</v>
      </c>
      <c r="F23" s="5" t="n"/>
      <c r="G23" s="5" t="n">
        <v>1000000</v>
      </c>
    </row>
    <row r="24">
      <c r="A24" s="4" t="n"/>
      <c r="B24" s="4" t="inlineStr">
        <is>
          <t>予算との差額（＋は予算内）</t>
        </is>
      </c>
      <c r="C24" s="5" t="n"/>
      <c r="D24" s="5" t="n"/>
      <c r="E24" s="5">
        <f>E23-E22</f>
        <v/>
      </c>
      <c r="F24" s="5" t="n"/>
      <c r="G24" s="5">
        <f>G23-G22</f>
        <v/>
      </c>
    </row>
    <row r="26">
      <c r="A26" t="inlineStr">
        <is>
          <t>想定：A案 690,000円（予算内・31万円の余裕）／B案 1,195,000円（予算を19.5万円超過）</t>
        </is>
      </c>
    </row>
    <row r="27">
      <c r="A27" t="inlineStr">
        <is>
          <t>→ B案は「予算の承認額を引き上げる」か「アシスタント講師を外す（▲16万円）」などの調整案を用意して決裁者に説明する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2026-09-24T07:38:21Z</dcterms:created>
  <dcterms:modified xmlns:dcterms="http://purl.org/dc/terms/" xmlns:xsi="http://www.w3.org/2001/XMLSchema-instance" xsi:type="dcterms:W3CDTF">2026-09-24T07:38:21Z</dcterms:modified>
</cp:coreProperties>
</file>
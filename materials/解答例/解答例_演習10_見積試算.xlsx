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試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D8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0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見積試算（みなと精機 若手技術者向けDX基礎研修）【解答例】</t>
        </is>
      </c>
    </row>
    <row r="3">
      <c r="A3" s="2" t="inlineStr">
        <is>
          <t>前提条件</t>
        </is>
      </c>
      <c r="B3" s="2" t="inlineStr">
        <is>
          <t>値</t>
        </is>
      </c>
      <c r="C3" s="2" t="n"/>
      <c r="D3" s="2" t="n"/>
      <c r="E3" s="2" t="n"/>
      <c r="F3" s="2" t="n"/>
      <c r="G3" s="2" t="n"/>
    </row>
    <row r="4">
      <c r="A4" t="inlineStr">
        <is>
          <t>受講者数（名）</t>
        </is>
      </c>
      <c r="B4" t="n">
        <v>60</v>
      </c>
    </row>
    <row r="5">
      <c r="A5" t="inlineStr">
        <is>
          <t>クラス数</t>
        </is>
      </c>
      <c r="B5">
        <f>ROUNDUP(B4/20,0)</f>
        <v/>
      </c>
    </row>
    <row r="6">
      <c r="A6" t="inlineStr">
        <is>
          <t>1クラスあたり日数</t>
        </is>
      </c>
      <c r="B6" t="n">
        <v>3</v>
      </c>
    </row>
    <row r="7">
      <c r="A7" t="inlineStr">
        <is>
          <t>実施形式（集合／オンライン）</t>
        </is>
      </c>
      <c r="B7" t="inlineStr">
        <is>
          <t>集合</t>
        </is>
      </c>
    </row>
    <row r="8">
      <c r="A8" t="inlineStr">
        <is>
          <t>会場（顧客会場／ELI会場）</t>
        </is>
      </c>
      <c r="B8" t="inlineStr">
        <is>
          <t>顧客会場</t>
        </is>
      </c>
    </row>
    <row r="10">
      <c r="A10" s="3" t="inlineStr">
        <is>
          <t>コード</t>
        </is>
      </c>
      <c r="B10" s="3" t="inlineStr">
        <is>
          <t>項目</t>
        </is>
      </c>
      <c r="C10" s="3" t="inlineStr">
        <is>
          <t>単価</t>
        </is>
      </c>
      <c r="D10" s="3" t="inlineStr">
        <is>
          <t>数量</t>
        </is>
      </c>
      <c r="E10" s="3" t="inlineStr">
        <is>
          <t>小計</t>
        </is>
      </c>
      <c r="F10" s="3" t="inlineStr">
        <is>
          <t>割引</t>
        </is>
      </c>
      <c r="G10" s="3" t="inlineStr">
        <is>
          <t>金額</t>
        </is>
      </c>
    </row>
    <row r="11">
      <c r="A11" s="4" t="inlineStr">
        <is>
          <t>P01</t>
        </is>
      </c>
      <c r="B11" s="4" t="inlineStr">
        <is>
          <t>講師料</t>
        </is>
      </c>
      <c r="C11" s="5" t="n">
        <v>250000</v>
      </c>
      <c r="D11" s="5">
        <f>B5*B6</f>
        <v/>
      </c>
      <c r="E11" s="5">
        <f>C11*D11</f>
        <v/>
      </c>
      <c r="F11" s="5">
        <f>IF(B5&gt;=3,E11*0.05,0)</f>
        <v/>
      </c>
      <c r="G11" s="5">
        <f>E11-F11</f>
        <v/>
      </c>
    </row>
    <row r="12">
      <c r="A12" s="4" t="inlineStr">
        <is>
          <t>P02</t>
        </is>
      </c>
      <c r="B12" s="4" t="inlineStr">
        <is>
          <t>アシスタント講師料</t>
        </is>
      </c>
      <c r="C12" s="5" t="n">
        <v>80000</v>
      </c>
      <c r="D12" s="5">
        <f>B5*B6</f>
        <v/>
      </c>
      <c r="E12" s="5">
        <f>C12*D12</f>
        <v/>
      </c>
      <c r="F12" s="5" t="n">
        <v>0</v>
      </c>
      <c r="G12" s="5">
        <f>E12-F12</f>
        <v/>
      </c>
    </row>
    <row r="13">
      <c r="A13" s="4" t="inlineStr">
        <is>
          <t>P03</t>
        </is>
      </c>
      <c r="B13" s="4" t="inlineStr">
        <is>
          <t>教材費</t>
        </is>
      </c>
      <c r="C13" s="5" t="n">
        <v>5000</v>
      </c>
      <c r="D13" s="5">
        <f>B4*B6</f>
        <v/>
      </c>
      <c r="E13" s="5">
        <f>C13*D13</f>
        <v/>
      </c>
      <c r="F13" s="5">
        <f>IF(B4&gt;=50,E13*0.1,0)</f>
        <v/>
      </c>
      <c r="G13" s="5">
        <f>E13-F13</f>
        <v/>
      </c>
    </row>
    <row r="14">
      <c r="A14" s="4" t="inlineStr">
        <is>
          <t>P04</t>
        </is>
      </c>
      <c r="B14" s="4" t="inlineStr">
        <is>
          <t>研修カスタマイズ費</t>
        </is>
      </c>
      <c r="C14" s="5" t="n">
        <v>400000</v>
      </c>
      <c r="D14" s="5" t="n">
        <v>1</v>
      </c>
      <c r="E14" s="5">
        <f>C14*D14</f>
        <v/>
      </c>
      <c r="F14" s="5" t="n">
        <v>0</v>
      </c>
      <c r="G14" s="5">
        <f>E14-F14</f>
        <v/>
      </c>
    </row>
    <row r="15">
      <c r="A15" s="4" t="inlineStr">
        <is>
          <t>P05</t>
        </is>
      </c>
      <c r="B15" s="4" t="inlineStr">
        <is>
          <t>事前アセスメント</t>
        </is>
      </c>
      <c r="C15" s="5" t="n">
        <v>3000</v>
      </c>
      <c r="D15" s="5">
        <f>B4</f>
        <v/>
      </c>
      <c r="E15" s="5">
        <f>C15*D15</f>
        <v/>
      </c>
      <c r="F15" s="5" t="n">
        <v>0</v>
      </c>
      <c r="G15" s="5">
        <f>E15-F15</f>
        <v/>
      </c>
    </row>
    <row r="16">
      <c r="A16" s="4" t="inlineStr">
        <is>
          <t>P06</t>
        </is>
      </c>
      <c r="B16" s="4" t="inlineStr">
        <is>
          <t>効果測定フォローアップ</t>
        </is>
      </c>
      <c r="C16" s="5" t="n">
        <v>200000</v>
      </c>
      <c r="D16" s="5" t="n">
        <v>1</v>
      </c>
      <c r="E16" s="5">
        <f>C16*D16</f>
        <v/>
      </c>
      <c r="F16" s="5" t="n">
        <v>0</v>
      </c>
      <c r="G16" s="5">
        <f>E16-F16</f>
        <v/>
      </c>
    </row>
    <row r="17">
      <c r="A17" s="4" t="inlineStr">
        <is>
          <t>P07</t>
        </is>
      </c>
      <c r="B17" s="4" t="inlineStr">
        <is>
          <t>ELI会場使用料</t>
        </is>
      </c>
      <c r="C17" s="5" t="n">
        <v>60000</v>
      </c>
      <c r="D17" s="5">
        <f>IF(B8="ELI会場",B5*B6,0)</f>
        <v/>
      </c>
      <c r="E17" s="5">
        <f>C17*D17</f>
        <v/>
      </c>
      <c r="F17" s="5" t="n">
        <v>0</v>
      </c>
      <c r="G17" s="5">
        <f>E17-F17</f>
        <v/>
      </c>
    </row>
    <row r="18">
      <c r="A18" s="4" t="inlineStr">
        <is>
          <t>P08</t>
        </is>
      </c>
      <c r="B18" s="4" t="inlineStr">
        <is>
          <t>オンライン配信運営費</t>
        </is>
      </c>
      <c r="C18" s="5" t="n">
        <v>50000</v>
      </c>
      <c r="D18" s="5">
        <f>IF(B7="オンライン",B5*B6,0)</f>
        <v/>
      </c>
      <c r="E18" s="5">
        <f>C18*D18</f>
        <v/>
      </c>
      <c r="F18" s="5" t="n">
        <v>0</v>
      </c>
      <c r="G18" s="5">
        <f>E18-F18</f>
        <v/>
      </c>
    </row>
    <row r="19">
      <c r="A19" s="4" t="n"/>
      <c r="B19" s="4" t="inlineStr">
        <is>
          <t>合計（税別）</t>
        </is>
      </c>
      <c r="C19" s="5" t="n"/>
      <c r="D19" s="5" t="n"/>
      <c r="E19" s="5" t="n"/>
      <c r="F19" s="5" t="n"/>
      <c r="G19" s="5">
        <f>SUM(G11:G18)</f>
        <v/>
      </c>
    </row>
    <row r="20">
      <c r="A20" s="4" t="n"/>
      <c r="B20" s="4" t="inlineStr">
        <is>
          <t>予算（税別）</t>
        </is>
      </c>
      <c r="C20" s="5" t="n"/>
      <c r="D20" s="5" t="n"/>
      <c r="E20" s="5" t="n"/>
      <c r="F20" s="5" t="n"/>
      <c r="G20" s="5" t="n">
        <v>6000000</v>
      </c>
    </row>
    <row r="21">
      <c r="A21" s="4" t="n"/>
      <c r="B21" s="4" t="inlineStr">
        <is>
          <t>予算との差額</t>
        </is>
      </c>
      <c r="C21" s="5" t="n"/>
      <c r="D21" s="5" t="n"/>
      <c r="E21" s="5" t="n"/>
      <c r="F21" s="5" t="n"/>
      <c r="G21" s="5">
        <f>G20-G19</f>
        <v/>
      </c>
    </row>
    <row r="23">
      <c r="A23" t="inlineStr">
        <is>
          <t>想定合計：4,447,500円（税別）。予算内に約155万円の余裕 → オプション（ハイブリッド型・事後フォロー追加）の提案余地あり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2026-09-24T06:54:17Z</dcterms:created>
  <dcterms:modified xmlns:dcterms="http://purl.org/dc/terms/" xmlns:xsi="http://www.w3.org/2001/XMLSchema-instance" xsi:type="dcterms:W3CDTF">2026-09-24T06:54:17Z</dcterms:modified>
</cp:coreProperties>
</file>